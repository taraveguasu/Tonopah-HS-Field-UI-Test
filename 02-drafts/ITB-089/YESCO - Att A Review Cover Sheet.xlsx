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8" fontId="0" fillId="0" borderId="3" pivotButton="0" quotePrefix="0" xfId="0"/>
    <xf numFmtId="168" fontId="4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Avery Hacker</t>
        </is>
      </c>
      <c r="C7" s="32" t="n"/>
      <c r="E7" s="13" t="inlineStr">
        <is>
          <t>Jon Cox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Derek Rosse</t>
        </is>
      </c>
      <c r="C8" s="32" t="n"/>
      <c r="E8" s="17" t="inlineStr">
        <is>
          <t>Kieth LaRue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n"/>
      <c r="C9" s="32" t="n"/>
      <c r="E9" s="18" t="inlineStr">
        <is>
          <t>Jairo Gomez-Facio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YESCO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11-0101-10000</t>
        </is>
      </c>
      <c r="E19" s="25" t="inlineStr">
        <is>
          <t>Dollar Amount</t>
        </is>
      </c>
      <c r="F19" s="44">
        <f>E30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Base Bid - YESCO proposal 05.12.26, Scoreboards complete scope of work per plans and specifications</t>
        </is>
      </c>
      <c r="E24" s="25" t="n"/>
      <c r="F24" s="50" t="n">
        <v>67030</v>
      </c>
      <c r="H24" s="5" t="n"/>
    </row>
    <row r="25">
      <c r="B25" s="49" t="inlineStr">
        <is>
          <t>Mobilization - YESCO proposal 05.12.26</t>
        </is>
      </c>
      <c r="C25" s="25" t="n"/>
      <c r="E25" s="25" t="n"/>
      <c r="F25" s="51" t="n">
        <v>3103</v>
      </c>
      <c r="H25" s="5" t="n"/>
    </row>
    <row r="26">
      <c r="B26" s="49" t="inlineStr">
        <is>
          <t>Add Alternate - YESCO proposal 05.12.26, footings (excavation, backfill, compacted subbase, concrete, reinforcing, sleeves, anchors, layout, clean-up), including concrete pumper truck and auger -- carried in the GMP total; NOT drafted as this package's scope, see open PM item</t>
        </is>
      </c>
      <c r="F26" s="50" t="n">
        <v>29350</v>
      </c>
      <c r="H26" s="5" t="n"/>
    </row>
    <row r="27">
      <c r="B27" s="21" t="n"/>
      <c r="E27" s="38" t="n"/>
    </row>
    <row r="29">
      <c r="B29" s="49" t="inlineStr">
        <is>
          <t>P&amp;P Bond</t>
        </is>
      </c>
      <c r="F29" s="49">
        <f>ROUND(SUM(F24:F26)*G29,0)</f>
        <v/>
      </c>
      <c r="G29" t="n">
        <v>0</v>
      </c>
    </row>
    <row r="30">
      <c r="B30" s="47" t="inlineStr">
        <is>
          <t>TOTAL (should equal contract total)</t>
        </is>
      </c>
      <c r="E30" s="47">
        <f>SUM(F24:F29)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2026-08-11T23:29:34Z</dcterms:modified>
  <cp:lastModifiedBy>X</cp:lastModifiedBy>
  <cp:lastPrinted>2015-04-29T22:38:01Z</cp:lastPrinted>
</cp:coreProperties>
</file>