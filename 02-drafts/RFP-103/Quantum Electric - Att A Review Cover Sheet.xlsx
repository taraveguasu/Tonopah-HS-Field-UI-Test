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901" firstSheet="0" activeTab="0" autoFilterDateGrouping="1"/>
  </bookViews>
  <sheets>
    <sheet name="cover sheet" sheetId="1" state="visible" r:id="rId1"/>
    <sheet name="list" sheetId="2" state="hidden" r:id="rId2"/>
  </sheets>
  <definedNames>
    <definedName name="list">list!$B$3:$B$6</definedName>
    <definedName name="PEs">list!$B$3:$B$6</definedName>
    <definedName name="PMs">list!$D$3:$D$6</definedName>
    <definedName name="ProjectEngineers">list!$B$3:$B$6</definedName>
    <definedName name="review_team">list!#REF!</definedName>
    <definedName name="_xlnm.Print_Area" localSheetId="0">'cover sheet'!$A$1:$F$27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.00_);[Red]\(&quot;$&quot;#,##0.00\)"/>
    <numFmt numFmtId="166" formatCode="&quot;$&quot;#,##0"/>
    <numFmt numFmtId="167" formatCode="&quot;$&quot;#,##0_);[Red]\(&quot;$&quot;#,##0\)"/>
    <numFmt numFmtId="168" formatCode="#,##0.00;-#,##0.00"/>
  </numFmts>
  <fonts count="15">
    <font>
      <name val="Arial"/>
      <sz val="10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sz val="8"/>
    </font>
    <font>
      <name val="Segoe UI"/>
      <family val="2"/>
      <sz val="10"/>
    </font>
    <font>
      <name val="Segoe UI"/>
      <family val="2"/>
      <b val="1"/>
      <sz val="18"/>
    </font>
    <font>
      <name val="Segoe UI"/>
      <family val="2"/>
      <b val="1"/>
      <sz val="12"/>
    </font>
    <font>
      <name val="Segoe UI"/>
      <family val="2"/>
      <sz val="9"/>
    </font>
    <font>
      <name val="Segoe UI"/>
      <family val="2"/>
      <b val="1"/>
      <sz val="14"/>
    </font>
    <font>
      <name val="Segoe UI"/>
      <family val="2"/>
      <b val="1"/>
      <sz val="9"/>
    </font>
    <font>
      <name val="Segoe UI"/>
      <family val="2"/>
      <sz val="11"/>
    </font>
    <font>
      <name val="Segoe UI"/>
      <family val="2"/>
      <b val="1"/>
      <sz val="10"/>
    </font>
    <font>
      <name val="Segoe UI"/>
      <family val="2"/>
      <b val="1"/>
      <color rgb="FF333333"/>
      <sz val="9"/>
    </font>
    <font>
      <name val="Segoe UI"/>
      <family val="2"/>
      <b val="1"/>
      <color rgb="FFFF0000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164" fontId="4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8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7" fillId="0" borderId="0" applyAlignment="1" applyProtection="1" pivotButton="0" quotePrefix="0" xfId="0">
      <alignment vertical="center"/>
      <protection locked="0" hidden="0"/>
    </xf>
    <xf numFmtId="0" fontId="4" fillId="0" borderId="1" pivotButton="0" quotePrefix="0" xfId="0"/>
    <xf numFmtId="0" fontId="10" fillId="3" borderId="1" applyAlignment="1" applyProtection="1" pivotButton="0" quotePrefix="0" xfId="0">
      <alignment horizontal="center" vertical="center"/>
      <protection locked="0" hidden="0"/>
    </xf>
    <xf numFmtId="0" fontId="10" fillId="0" borderId="1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  <xf numFmtId="0" fontId="4" fillId="0" borderId="0" pivotButton="0" quotePrefix="0" xfId="0"/>
    <xf numFmtId="0" fontId="12" fillId="0" borderId="0" pivotButton="0" quotePrefix="0" xfId="0"/>
    <xf numFmtId="165" fontId="4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6" fontId="4" fillId="3" borderId="0" pivotButton="0" quotePrefix="0" xfId="0"/>
    <xf numFmtId="166" fontId="4" fillId="0" borderId="0" pivotButton="0" quotePrefix="0" xfId="0"/>
    <xf numFmtId="167" fontId="4" fillId="0" borderId="0" applyAlignment="1" pivotButton="0" quotePrefix="0" xfId="0">
      <alignment horizontal="center"/>
    </xf>
    <xf numFmtId="0" fontId="11" fillId="0" borderId="0" pivotButton="0" quotePrefix="0" xfId="0"/>
    <xf numFmtId="0" fontId="7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right"/>
    </xf>
    <xf numFmtId="14" fontId="13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/>
    </xf>
    <xf numFmtId="164" fontId="11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4" fillId="3" borderId="2" applyAlignment="1" pivotButton="0" quotePrefix="0" xfId="0">
      <alignment horizontal="center"/>
    </xf>
    <xf numFmtId="0" fontId="0" fillId="0" borderId="2" pivotButton="0" quotePrefix="0" xfId="0"/>
    <xf numFmtId="0" fontId="13" fillId="3" borderId="2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6" fontId="4" fillId="3" borderId="0" pivotButton="0" quotePrefix="0" xfId="0"/>
    <xf numFmtId="166" fontId="4" fillId="0" borderId="0" pivotButton="0" quotePrefix="0" xfId="0"/>
    <xf numFmtId="167" fontId="4" fillId="0" borderId="0" applyAlignment="1" pivotButton="0" quotePrefix="0" xfId="0">
      <alignment horizontal="center"/>
    </xf>
    <xf numFmtId="0" fontId="14" fillId="0" borderId="0" pivotButton="0" quotePrefix="0" xfId="0"/>
    <xf numFmtId="166" fontId="14" fillId="0" borderId="0" pivotButton="0" quotePrefix="0" xfId="0"/>
    <xf numFmtId="0" fontId="0" fillId="0" borderId="3" pivotButton="0" quotePrefix="0" xfId="0"/>
    <xf numFmtId="168" fontId="0" fillId="0" borderId="3" pivotButton="0" quotePrefix="0" xfId="0"/>
    <xf numFmtId="168" fontId="4" fillId="0" borderId="3" pivotButton="0" quotePrefix="0" xfId="0"/>
    <xf numFmtId="0" fontId="4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30"/>
  <sheetViews>
    <sheetView tabSelected="1" zoomScaleNormal="100" workbookViewId="0">
      <selection activeCell="J14" sqref="J14"/>
    </sheetView>
  </sheetViews>
  <sheetFormatPr baseColWidth="8" defaultColWidth="9.16796875" defaultRowHeight="14.25"/>
  <cols>
    <col width="0.94140625" customWidth="1" style="21" min="1" max="1"/>
    <col width="17.2578125" customWidth="1" style="21" min="2" max="2"/>
    <col width="19.8203125" bestFit="1" customWidth="1" style="21" min="3" max="3"/>
    <col width="1.6171875" customWidth="1" style="21" min="4" max="4"/>
    <col width="22.7890625" customWidth="1" style="21" min="5" max="5"/>
    <col width="21.44140625" customWidth="1" style="21" min="6" max="6"/>
    <col width="20.765625" bestFit="1" customWidth="1" style="21" min="7" max="7"/>
    <col width="5.390625" customWidth="1" style="21" min="8" max="8"/>
    <col width="14.83203125" customWidth="1" style="21" min="9" max="9"/>
    <col width="13.484375" customWidth="1" style="5" min="10" max="10"/>
    <col width="5.390625" customWidth="1" style="21" min="11" max="11"/>
    <col width="9.16796875" customWidth="1" style="21" min="12" max="16384"/>
  </cols>
  <sheetData>
    <row r="2" ht="29.25" customHeight="1">
      <c r="D2" s="36" t="inlineStr">
        <is>
          <t>Attachment A Review Log</t>
        </is>
      </c>
      <c r="G2" s="4" t="n"/>
    </row>
    <row r="3" ht="14.25" customHeight="1">
      <c r="D3" s="37" t="inlineStr">
        <is>
          <t>NCSD - Tonopah HS Sports Field Replacement</t>
        </is>
      </c>
      <c r="G3" s="4" t="n"/>
    </row>
    <row r="4" ht="14.1" customHeight="1">
      <c r="D4" s="37" t="inlineStr">
        <is>
          <t>26-01-019</t>
        </is>
      </c>
      <c r="G4" s="4" t="n"/>
    </row>
    <row r="5" ht="21" customHeight="1">
      <c r="B5" s="15" t="n"/>
      <c r="L5" s="21" t="n"/>
      <c r="M5" s="8" t="n"/>
      <c r="N5" s="8" t="n"/>
      <c r="O5" s="21" t="n"/>
      <c r="P5" s="21" t="n"/>
    </row>
    <row r="6" ht="18.75" customHeight="1">
      <c r="B6" s="9" t="inlineStr">
        <is>
          <t>Approved By</t>
        </is>
      </c>
      <c r="C6" s="9" t="inlineStr">
        <is>
          <t>Approval Stamp</t>
        </is>
      </c>
      <c r="E6" s="9" t="inlineStr">
        <is>
          <t>Reviewed By</t>
        </is>
      </c>
      <c r="F6" s="9" t="inlineStr">
        <is>
          <t>Reviewed Stamp</t>
        </is>
      </c>
      <c r="K6" s="10" t="n"/>
      <c r="L6" s="21" t="n"/>
      <c r="M6" s="11" t="n"/>
      <c r="N6" s="11" t="n"/>
      <c r="O6" s="11" t="n"/>
      <c r="P6" s="21" t="n"/>
    </row>
    <row r="7" ht="40.5" customHeight="1">
      <c r="B7" s="31" t="inlineStr">
        <is>
          <t>Avery Hacker</t>
        </is>
      </c>
      <c r="C7" s="32" t="n"/>
      <c r="E7" s="13" t="inlineStr">
        <is>
          <t>Jon Cox</t>
        </is>
      </c>
      <c r="F7" s="14" t="n"/>
      <c r="L7" s="21" t="n"/>
      <c r="M7" s="15" t="n"/>
      <c r="N7" s="15" t="n"/>
      <c r="O7" s="19" t="n"/>
      <c r="P7" s="21" t="n"/>
    </row>
    <row r="8" ht="49.5" customHeight="1">
      <c r="B8" s="31" t="inlineStr">
        <is>
          <t>Derek Rosse</t>
        </is>
      </c>
      <c r="C8" s="32" t="n"/>
      <c r="E8" s="17" t="inlineStr">
        <is>
          <t>Kieth LaRue</t>
        </is>
      </c>
      <c r="F8" s="14" t="n"/>
      <c r="L8" s="21" t="n"/>
      <c r="M8" s="15" t="n"/>
      <c r="N8" s="15" t="n"/>
      <c r="O8" s="19" t="n"/>
      <c r="P8" s="21" t="n"/>
    </row>
    <row r="9" ht="46.5" customHeight="1">
      <c r="B9" s="31" t="n"/>
      <c r="C9" s="32" t="n"/>
      <c r="E9" s="18" t="inlineStr">
        <is>
          <t>Jairo Gomez-Facio</t>
        </is>
      </c>
      <c r="F9" s="32" t="n"/>
      <c r="J9" s="21" t="n"/>
      <c r="L9" s="21" t="n"/>
      <c r="M9" s="15" t="n"/>
      <c r="N9" s="15" t="n"/>
      <c r="O9" s="19" t="n"/>
      <c r="P9" s="21" t="n"/>
    </row>
    <row r="10" ht="18.75" customHeight="1">
      <c r="B10" s="15" t="n"/>
      <c r="C10" s="15" t="n"/>
      <c r="D10" s="19" t="n"/>
      <c r="E10" s="15" t="n"/>
      <c r="F10" s="15" t="n"/>
      <c r="G10" s="19" t="n"/>
      <c r="J10" s="21" t="n"/>
      <c r="L10" s="21" t="n"/>
      <c r="M10" s="21" t="n"/>
      <c r="N10" s="21" t="n"/>
      <c r="O10" s="21" t="n"/>
      <c r="P10" s="21" t="n"/>
    </row>
    <row r="11" ht="18.75" customHeight="1">
      <c r="B11" s="33" t="inlineStr">
        <is>
          <t>Final Session; add Invitees: Anne Tall, Erin Hicks, Kathleen Hamilton, Liz Pippett,  Inger Pippett</t>
        </is>
      </c>
      <c r="G11" s="19" t="n"/>
      <c r="I11" s="19" t="n"/>
      <c r="J11" s="21" t="n"/>
    </row>
    <row r="12" ht="18.75" customHeight="1">
      <c r="B12" s="30" t="n"/>
      <c r="C12" s="30" t="n"/>
      <c r="D12" s="30" t="n"/>
      <c r="E12" s="30" t="n"/>
      <c r="F12" s="30" t="n"/>
    </row>
    <row r="13" ht="17.25" customHeight="1">
      <c r="B13" s="39" t="inlineStr">
        <is>
          <t>Subcontractor:</t>
        </is>
      </c>
      <c r="D13" s="40" t="inlineStr">
        <is>
          <t>Quantum Electric, LLC</t>
        </is>
      </c>
      <c r="E13" s="41" t="n"/>
      <c r="F13" s="41" t="n"/>
      <c r="H13" s="5" t="n"/>
    </row>
    <row r="14" ht="20.25" customHeight="1">
      <c r="B14" s="20" t="n"/>
      <c r="C14" s="21" t="n"/>
      <c r="D14" s="21" t="n"/>
      <c r="E14" s="21" t="n"/>
      <c r="F14" s="21" t="n"/>
      <c r="H14" s="5" t="n"/>
    </row>
    <row r="15">
      <c r="B15" s="34" t="inlineStr">
        <is>
          <t>Anticipated Material Procurement Date:</t>
        </is>
      </c>
      <c r="D15" s="42" t="inlineStr">
        <is>
          <t>CONFIRM</t>
        </is>
      </c>
      <c r="E15" s="41" t="n"/>
      <c r="F15" s="41" t="n"/>
      <c r="H15" s="5" t="n"/>
    </row>
    <row r="16" ht="17.25" customHeight="1">
      <c r="B16" s="39" t="inlineStr">
        <is>
          <t>Anticipated Start Date:</t>
        </is>
      </c>
      <c r="D16" s="42" t="inlineStr">
        <is>
          <t>CONFIRM</t>
        </is>
      </c>
      <c r="E16" s="41" t="n"/>
      <c r="F16" s="41" t="n"/>
      <c r="H16" s="5" t="n"/>
    </row>
    <row r="17">
      <c r="B17" s="22" t="n"/>
      <c r="H17" s="43" t="n"/>
    </row>
    <row r="18">
      <c r="H18" s="5" t="n"/>
    </row>
    <row r="19">
      <c r="B19" s="21" t="inlineStr">
        <is>
          <t>*Phase Code</t>
        </is>
      </c>
      <c r="C19" s="24" t="inlineStr">
        <is>
          <t>26-1000-10000</t>
        </is>
      </c>
      <c r="E19" s="25" t="inlineStr">
        <is>
          <t>Dollar Amount</t>
        </is>
      </c>
      <c r="F19" s="44">
        <f>E30</f>
        <v/>
      </c>
      <c r="H19" s="5" t="n"/>
    </row>
    <row r="20">
      <c r="B20" s="29" t="inlineStr">
        <is>
          <t xml:space="preserve">    *Only one Phase Code Per Subcontractor/Vendor per Tim Roley</t>
        </is>
      </c>
      <c r="E20" s="25" t="n"/>
      <c r="H20" s="5" t="n"/>
    </row>
    <row r="21">
      <c r="C21" s="25" t="n"/>
      <c r="E21" s="25" t="n"/>
      <c r="F21" s="45" t="n"/>
      <c r="H21" s="46" t="n"/>
    </row>
    <row r="22">
      <c r="B22" s="47" t="inlineStr">
        <is>
          <t>Summary of Contract Amount:</t>
        </is>
      </c>
      <c r="E22" s="25" t="n"/>
      <c r="H22" s="5" t="n"/>
    </row>
    <row r="23">
      <c r="B23" s="47" t="inlineStr">
        <is>
          <t>Scope Description:</t>
        </is>
      </c>
      <c r="C23" s="25" t="n"/>
      <c r="E23" s="25" t="n"/>
      <c r="F23" s="48" t="inlineStr">
        <is>
          <t>Amount:</t>
        </is>
      </c>
      <c r="H23" s="46" t="n"/>
    </row>
    <row r="24">
      <c r="B24" s="49" t="inlineStr">
        <is>
          <t>Base Bid - Quantum Electric Homework Response R4 (06.01.26)</t>
        </is>
      </c>
      <c r="E24" s="25" t="n"/>
      <c r="F24" s="50" t="n">
        <v>937714</v>
      </c>
      <c r="H24" s="5" t="n"/>
    </row>
    <row r="25">
      <c r="B25" s="49" t="inlineStr">
        <is>
          <t>ADD Alternate 05 - Electrical excavation, 100% hard dig</t>
        </is>
      </c>
      <c r="C25" s="25" t="n"/>
      <c r="E25" s="25" t="n"/>
      <c r="F25" s="51" t="n">
        <v>71516</v>
      </c>
      <c r="H25" s="5" t="n"/>
    </row>
    <row r="26">
      <c r="B26" s="49" t="inlineStr">
        <is>
          <t>ADD Alternate 06 - Concrete foundations for (4) Musco poles (excavation priced under Alternate 05)</t>
        </is>
      </c>
      <c r="F26" s="50" t="n">
        <v>33102</v>
      </c>
      <c r="H26" s="5" t="n"/>
    </row>
    <row r="27">
      <c r="B27" s="52" t="inlineStr">
        <is>
          <t>ADD Alternate 103.01 - Electrical Demo at Abandoned Elementary School Campus</t>
        </is>
      </c>
      <c r="E27" s="38" t="n"/>
      <c r="F27" s="50" t="n">
        <v>41564</v>
      </c>
    </row>
    <row r="28">
      <c r="B28" s="49" t="inlineStr">
        <is>
          <t>DEDUCT Alternate 03 - Remove Showlight &amp; RGBW option from Musco poles</t>
        </is>
      </c>
      <c r="F28" s="50" t="n">
        <v>-9355</v>
      </c>
    </row>
    <row r="29">
      <c r="B29" s="49" t="inlineStr">
        <is>
          <t>P&amp;P Bond</t>
        </is>
      </c>
      <c r="F29" s="49">
        <f>ROUND(SUM(F24:F28)*G29,0)</f>
        <v/>
      </c>
      <c r="G29" t="n">
        <v>0.017</v>
      </c>
    </row>
    <row r="30">
      <c r="B30" s="47" t="inlineStr">
        <is>
          <t>TOTAL (should equal contract total)</t>
        </is>
      </c>
      <c r="E30" s="47">
        <f>SUM(F24:F29)</f>
        <v/>
      </c>
    </row>
  </sheetData>
  <mergeCells count="10">
    <mergeCell ref="B13:C13"/>
    <mergeCell ref="D2:F2"/>
    <mergeCell ref="B16:C16"/>
    <mergeCell ref="D13:F13"/>
    <mergeCell ref="B15:C15"/>
    <mergeCell ref="B11:F11"/>
    <mergeCell ref="D4:F4"/>
    <mergeCell ref="D3:F3"/>
    <mergeCell ref="D15:F15"/>
    <mergeCell ref="D16:F16"/>
  </mergeCells>
  <printOptions horizontalCentered="1"/>
  <pageMargins left="0.25" right="0.25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6"/>
  <sheetViews>
    <sheetView workbookViewId="0">
      <selection activeCell="F37" sqref="F37"/>
    </sheetView>
  </sheetViews>
  <sheetFormatPr baseColWidth="8" defaultRowHeight="12.75"/>
  <cols>
    <col width="4.8515625" customWidth="1" min="1" max="1"/>
    <col width="18.609375" customWidth="1" min="2" max="2"/>
  </cols>
  <sheetData>
    <row r="2" ht="12.75" customHeight="1">
      <c r="B2" s="1" t="n"/>
      <c r="C2" s="1" t="n"/>
      <c r="D2" s="1" t="n"/>
    </row>
    <row r="3">
      <c r="B3" s="2" t="inlineStr">
        <is>
          <t>Roger Baum</t>
        </is>
      </c>
      <c r="C3" s="2" t="n"/>
      <c r="D3" s="2" t="n"/>
    </row>
    <row r="4">
      <c r="B4" s="2" t="inlineStr">
        <is>
          <t>Merv Giles</t>
        </is>
      </c>
      <c r="C4" s="2" t="n"/>
      <c r="D4" s="2" t="n"/>
    </row>
    <row r="5">
      <c r="B5" s="2" t="inlineStr">
        <is>
          <t>Matt Buckhannon</t>
        </is>
      </c>
      <c r="C5" s="2" t="n"/>
      <c r="D5" s="2" t="n"/>
    </row>
    <row r="6">
      <c r="B6" s="2" t="inlineStr">
        <is>
          <t>Jim Jacobs</t>
        </is>
      </c>
      <c r="D6" s="2" t="n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Roger Baum</dc:creator>
  <dcterms:created xsi:type="dcterms:W3CDTF">2006-10-04T15:06:08Z</dcterms:created>
  <dcterms:modified xsi:type="dcterms:W3CDTF">2026-08-11T23:30:04Z</dcterms:modified>
  <cp:lastModifiedBy>X</cp:lastModifiedBy>
  <cp:lastPrinted>2015-04-29T22:38:01Z</cp:lastPrinted>
</cp:coreProperties>
</file>