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  <xf numFmtId="0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3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Project Director</t>
        </is>
      </c>
      <c r="C7" s="32" t="n"/>
      <c r="E7" s="13" t="inlineStr">
        <is>
          <t>Project Manager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General Superintendent</t>
        </is>
      </c>
      <c r="C8" s="32" t="n"/>
      <c r="E8" s="17" t="inlineStr">
        <is>
          <t>Superintendent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inlineStr">
        <is>
          <t>Tim Roley or       Matt Wade                    (if over $5M)</t>
        </is>
      </c>
      <c r="C9" s="32" t="n"/>
      <c r="E9" s="18" t="inlineStr">
        <is>
          <t>Assistant PM (if applicable)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New-Com, Inc. (TAB Contractors and MMC, Inc.)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31-2000-10000</t>
        </is>
      </c>
      <c r="E19" s="25" t="inlineStr">
        <is>
          <t>Dollar Amount</t>
        </is>
      </c>
      <c r="F19" s="44">
        <f>E33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— TAB proposal 05.12.26, restated 05.22.26</t>
        </is>
      </c>
      <c r="E24" s="25" t="n"/>
      <c r="F24" s="50" t="n">
        <v>1924851</v>
      </c>
      <c r="H24" s="5" t="n"/>
    </row>
    <row r="25">
      <c r="B25" s="49" t="inlineStr">
        <is>
          <t>Deduct: delete Type II and geofabric from turf field</t>
        </is>
      </c>
      <c r="C25" s="25" t="n"/>
      <c r="E25" s="25" t="n"/>
      <c r="F25" s="51" t="n">
        <v>-150000</v>
      </c>
      <c r="H25" s="5" t="n"/>
    </row>
    <row r="26">
      <c r="B26" s="49" t="inlineStr">
        <is>
          <t>Deduct: delete slot / trench drains at track</t>
        </is>
      </c>
      <c r="F26" s="50" t="n">
        <v>-125000</v>
      </c>
      <c r="H26" s="5" t="n"/>
    </row>
    <row r="27">
      <c r="B27" s="52" t="inlineStr">
        <is>
          <t>Add: additional 8" perforated field drain, south end of field (210 LF)</t>
        </is>
      </c>
      <c r="E27" s="38" t="n"/>
      <c r="F27" s="50" t="n">
        <v>30000</v>
      </c>
    </row>
    <row r="28">
      <c r="B28" s="49" t="inlineStr">
        <is>
          <t>Deduct: Accepted VE #10 — leave access road as-is (incl. relocation of 2,100 CY to stockpile)</t>
        </is>
      </c>
      <c r="F28" s="50" t="n">
        <v>-16750</v>
      </c>
    </row>
    <row r="29">
      <c r="B29" s="49" t="inlineStr">
        <is>
          <t>Add: D-10 dozer for hard dig, 1 month (saves 2 weeks)</t>
        </is>
      </c>
      <c r="F29" s="50" t="n">
        <v>70000</v>
      </c>
    </row>
    <row r="30">
      <c r="B30" s="49" t="inlineStr">
        <is>
          <t>Add: trencher for storm drain</t>
        </is>
      </c>
      <c r="F30" s="50" t="n">
        <v>18720</v>
      </c>
    </row>
    <row r="31">
      <c r="B31" s="49" t="inlineStr">
        <is>
          <t>Deduct: Accepted VE #9 — RCP flared end section in lieu of headwall</t>
        </is>
      </c>
      <c r="F31" s="50" t="n">
        <v>-10500</v>
      </c>
    </row>
    <row r="32">
      <c r="B32" s="49" t="inlineStr">
        <is>
          <t>P&amp;P Bond</t>
        </is>
      </c>
      <c r="F32" s="49">
        <f>ROUND(SUM(F24:F31)*G32,0)</f>
        <v/>
      </c>
      <c r="G32" t="n">
        <v>0</v>
      </c>
    </row>
    <row r="33">
      <c r="B33" s="47" t="inlineStr">
        <is>
          <t>TOTAL (should equal contract total)</t>
        </is>
      </c>
      <c r="E33" s="47">
        <f>SUM(F24:F32)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2026-08-11T23:27:29Z</dcterms:modified>
  <cp:lastModifiedBy>X</cp:lastModifiedBy>
  <cp:lastPrinted>2015-04-29T22:38:01Z</cp:lastPrinted>
</cp:coreProperties>
</file>