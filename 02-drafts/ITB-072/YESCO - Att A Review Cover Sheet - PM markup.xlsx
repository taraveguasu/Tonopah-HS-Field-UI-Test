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gltd-my.sharepoint.com/personal/joncox_coreconstruction_com/Documents/Documents/Tonopah/Att A PM Review/72 Signage/"/>
    </mc:Choice>
  </mc:AlternateContent>
  <xr:revisionPtr revIDLastSave="63" documentId="11_86494875F079009D5D418ACA5D026C4BA3FB6A41" xr6:coauthVersionLast="47" xr6:coauthVersionMax="47" xr10:uidLastSave="{CE34DA24-165F-4B88-BA06-D282A2681ABF}"/>
  <bookViews>
    <workbookView xWindow="-110" yWindow="-110" windowWidth="38620" windowHeight="21100" tabRatio="901" xr2:uid="{00000000-000D-0000-FFFF-FFFF00000000}"/>
  </bookViews>
  <sheets>
    <sheet name="cover sheet" sheetId="1" r:id="rId1"/>
    <sheet name="list" sheetId="3" state="hidden" r:id="rId2"/>
  </sheets>
  <definedNames>
    <definedName name="list">list!$B$3:$B$6</definedName>
    <definedName name="PEs">list!$B$3:$B$6</definedName>
    <definedName name="PMs">list!$D$3:$D$6</definedName>
    <definedName name="_xlnm.Print_Area" localSheetId="0">'cover sheet'!$A$1:$F$30</definedName>
    <definedName name="ProjectEngineers">list!$B$3:$B$6</definedName>
    <definedName name="review_team">list!#REF!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E30" i="1" s="1"/>
  <c r="F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tc={2A4D374E-CB44-4694-8018-B8261706847C}</author>
    <author>tc={007800B6-43CC-409D-9351-89F52188FB10}</author>
    <author>tc={6FB8E4A2-5881-4346-9F0E-0BED3B83A2E1}</author>
    <author>tc={E5A8FD4D-473C-4734-AA3D-C266D28CE72F}</author>
    <author>tc={5F32227E-A6D2-4EA7-8B65-6C1E84136015}</author>
    <author>tc={1B7A0894-A0AF-4BCA-B0C6-D5A6A0550B04}</author>
    <author>tc={BE0269E7-40D1-4F7B-90D5-ABF9D1814726}</author>
  </authors>
  <commentList>
    <comment ref="C3" authorId="0" shapeId="0" xr:uid="{2A4D374E-CB44-4694-8018-B8261706847C}">
      <text>
        <t>[Threaded comment]
Your version of Excel allows you to read this threaded comment; however, any edits to it will get removed if the file is opened in a newer version of Excel. Learn more: https://go.microsoft.com/fwlink/?linkid=870924
Comment:
    CORE logo needs to remain in the top left corner.</t>
      </text>
    </comment>
    <comment ref="D3" authorId="1" shapeId="0" xr:uid="{007800B6-43CC-409D-9351-89F52188FB10}">
      <text>
        <t>[Threaded comment]
Your version of Excel allows you to read this threaded comment; however, any edits to it will get removed if the file is opened in a newer version of Excel. Learn more: https://go.microsoft.com/fwlink/?linkid=870924
Comment:
    Abbreviate HS so it fits within the cell.</t>
      </text>
    </comment>
    <comment ref="G7" authorId="2" shapeId="0" xr:uid="{6FB8E4A2-5881-4346-9F0E-0BED3B83A2E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actual names to the Approved By cells.</t>
      </text>
    </comment>
    <comment ref="D16" authorId="3" shapeId="0" xr:uid="{E5A8FD4D-473C-4734-AA3D-C266D28CE7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date comes from the preliminary construction schedule provided at bid time.  </t>
      </text>
    </comment>
    <comment ref="C19" authorId="4" shapeId="0" xr:uid="{5F32227E-A6D2-4EA7-8B65-6C1E84136015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Correct.  Reference procore_budget for cost code if needed.</t>
      </text>
    </comment>
    <comment ref="F22" authorId="5" shapeId="0" xr:uid="{1B7A0894-A0AF-4BCA-B0C6-D5A6A0550B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of 2nd page</t>
      </text>
    </comment>
    <comment ref="B25" authorId="6" shapeId="0" xr:uid="{BE0269E7-40D1-4F7B-90D5-ABF9D1814726}">
      <text>
        <t>[Threaded comment]
Your version of Excel allows you to read this threaded comment; however, any edits to it will get removed if the file is opened in a newer version of Excel. Learn more: https://go.microsoft.com/fwlink/?linkid=870924
Comment:
    Keep description simple. Specifics not needed.</t>
      </text>
    </comment>
  </commentList>
</comments>
</file>

<file path=xl/sharedStrings.xml><?xml version="1.0" encoding="utf-8"?>
<sst xmlns="http://schemas.openxmlformats.org/spreadsheetml/2006/main" count="32" uniqueCount="32">
  <si>
    <t>Attachment A Review Log</t>
  </si>
  <si>
    <t>26-01-019</t>
  </si>
  <si>
    <t>Approved By</t>
  </si>
  <si>
    <t>Approval Stamp</t>
  </si>
  <si>
    <t>Reviewed By</t>
  </si>
  <si>
    <t>Reviewed Stamp</t>
  </si>
  <si>
    <t>Final Session; add Invitees: Anne Tall, Erin Hicks, Kathleen Hamilton, Liz Pippett,  Inger Pippett</t>
  </si>
  <si>
    <t>Subcontractor:</t>
  </si>
  <si>
    <t>YESCO</t>
  </si>
  <si>
    <t>Anticipated Material Procurement Date:</t>
  </si>
  <si>
    <t>Anticipated Start Date:</t>
  </si>
  <si>
    <t>*Phase Code</t>
  </si>
  <si>
    <t>10-3070-10000</t>
  </si>
  <si>
    <t>Dollar Amount</t>
  </si>
  <si>
    <t xml:space="preserve">    *Only one Phase Code Per Subcontractor/Vendor per Tim Roley</t>
  </si>
  <si>
    <t>TOTAL (should equal contract total)</t>
  </si>
  <si>
    <t>Roger Baum</t>
  </si>
  <si>
    <t>Merv Giles</t>
  </si>
  <si>
    <t>Matt Buckhannon</t>
  </si>
  <si>
    <t>Jim Jacobs</t>
  </si>
  <si>
    <t>NCSD - Tonopah HS Sports Field Replacement</t>
  </si>
  <si>
    <t>Avery Hacker</t>
  </si>
  <si>
    <t>Derek Rosse</t>
  </si>
  <si>
    <t>Jon Cox</t>
  </si>
  <si>
    <t>Kieth LaRue</t>
  </si>
  <si>
    <t>Jairo Gomez-Facio</t>
  </si>
  <si>
    <t>Add: Menu Display Case - Alternate 072.01</t>
  </si>
  <si>
    <t>Summary of Contract Amount:</t>
  </si>
  <si>
    <t>Scope Description:</t>
  </si>
  <si>
    <t>Amount:</t>
  </si>
  <si>
    <t>Base Bid Proposal</t>
  </si>
  <si>
    <t>P&amp;P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</si>
</sst>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&quot;$&quot;#,##0"/>
  </numFmts>
  <fonts count="15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sz val="10"/>
      <name val="Segoe UI"/>
      <family val="2"/>
    </font>
    <font>
      <b/>
      <sz val="18"/>
      <name val="Segoe UI"/>
      <family val="2"/>
    </font>
    <font>
      <b/>
      <sz val="12"/>
      <name val="Segoe UI"/>
      <family val="2"/>
    </font>
    <font>
      <sz val="9"/>
      <name val="Segoe UI"/>
      <family val="2"/>
    </font>
    <font>
      <b/>
      <sz val="14"/>
      <name val="Segoe UI"/>
      <family val="2"/>
    </font>
    <font>
      <b/>
      <sz val="9"/>
      <name val="Segoe UI"/>
      <family val="2"/>
    </font>
    <font>
      <sz val="11"/>
      <name val="Segoe UI"/>
      <family val="2"/>
    </font>
    <font>
      <b/>
      <sz val="10"/>
      <name val="Segoe UI"/>
      <family val="2"/>
    </font>
    <font>
      <b/>
      <sz val="9"/>
      <color rgb="FF333333"/>
      <name val="Segoe UI"/>
      <family val="2"/>
    </font>
    <font>
      <b/>
      <sz val="10"/>
      <color rgb="FFFF0000"/>
      <name val="Segoe UI"/>
      <family val="2"/>
    </font>
    <font>
      <sz val="10"/>
      <name val="Arial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 applyProtection="1">
      <alignment vertical="center"/>
      <protection locked="0"/>
    </xf>
    <xf numFmtId="0" fontId="3" fillId="0" borderId="1" xfId="0" applyFont="1" applyBorder="1"/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1" fillId="0" borderId="0" xfId="0" applyFont="1"/>
    <xf numFmtId="8" fontId="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165" fontId="3" fillId="3" borderId="0" xfId="0" applyNumberFormat="1" applyFont="1" applyFill="1"/>
    <xf numFmtId="165" fontId="3" fillId="0" borderId="0" xfId="0" applyNumberFormat="1" applyFont="1"/>
    <xf numFmtId="6" fontId="3" fillId="0" borderId="0" xfId="0" applyNumberFormat="1" applyFont="1" applyAlignment="1">
      <alignment horizontal="center"/>
    </xf>
    <xf numFmtId="0" fontId="10" fillId="0" borderId="0" xfId="0" applyFont="1"/>
    <xf numFmtId="0" fontId="6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3" borderId="0" xfId="0" applyFont="1" applyFill="1" applyAlignment="1">
      <alignment horizontal="center"/>
    </xf>
    <xf numFmtId="0" fontId="0" fillId="0" borderId="2" xfId="0" applyBorder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14" fontId="12" fillId="3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165" fontId="3" fillId="0" borderId="2" xfId="0" applyNumberFormat="1" applyFont="1" applyBorder="1"/>
    <xf numFmtId="164" fontId="3" fillId="0" borderId="3" xfId="0" applyNumberFormat="1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4" fontId="10" fillId="0" borderId="7" xfId="0" applyNumberFormat="1" applyFont="1" applyBorder="1" applyAlignment="1">
      <alignment horizontal="right"/>
    </xf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1" defaultTableStyle="TableStyleMedium9" defaultPivotStyle="PivotStyleLight16">
    <tableStyle name="Invisible" pivot="0" table="0" count="0" xr9:uid="{6DB4AA5E-85A1-4D41-A295-8EF4C66AFF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1</xdr:row>
      <xdr:rowOff>44450</xdr:rowOff>
    </xdr:from>
    <xdr:to>
      <xdr:col>2</xdr:col>
      <xdr:colOff>857250</xdr:colOff>
      <xdr:row>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55E680-EDD4-4E6C-8BCD-59689BFE6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247650"/>
          <a:ext cx="1854200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n Cox" id="{0D030F0F-0763-4B75-BCA4-1DE9B80BBC88}" userId="S::joncox@coreconstruction.com::670fc6a6-bf3c-4286-bdc8-7d59cde58c7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8-11T20:34:03.74" personId="{0D030F0F-0763-4B75-BCA4-1DE9B80BBC88}" id="{2A4D374E-CB44-4694-8018-B8261706847C}">
    <text>CORE logo needs to remain in the top left corner.</text>
  </threadedComment>
  <threadedComment ref="D3" dT="2026-08-11T20:33:38.81" personId="{0D030F0F-0763-4B75-BCA4-1DE9B80BBC88}" id="{007800B6-43CC-409D-9351-89F52188FB10}">
    <text>Abbreviate HS so it fits within the cell.</text>
  </threadedComment>
  <threadedComment ref="G7" dT="2026-08-11T20:45:38.21" personId="{0D030F0F-0763-4B75-BCA4-1DE9B80BBC88}" id="{6FB8E4A2-5881-4346-9F0E-0BED3B83A2E1}">
    <text>Added actual names to the Approved By cells.</text>
  </threadedComment>
  <threadedComment ref="D16" dT="2026-08-11T20:37:09.41" personId="{0D030F0F-0763-4B75-BCA4-1DE9B80BBC88}" id="{E5A8FD4D-473C-4734-AA3D-C266D28CE72F}">
    <text xml:space="preserve">This date comes from the preliminary construction schedule provided at bid time.  </text>
  </threadedComment>
  <threadedComment ref="C19" dT="2026-08-11T20:58:32.56" personId="{0D030F0F-0763-4B75-BCA4-1DE9B80BBC88}" id="{5F32227E-A6D2-4EA7-8B65-6C1E84136015}">
    <text>Correct.  Reference procore_budget for cost code if needed.</text>
  </threadedComment>
  <threadedComment ref="F22" dT="2026-08-11T21:02:22.16" personId="{0D030F0F-0763-4B75-BCA4-1DE9B80BBC88}" id="{1B7A0894-A0AF-4BCA-B0C6-D5A6A0550B04}">
    <text>Start of 2nd page</text>
  </threadedComment>
  <threadedComment ref="B25" dT="2026-08-11T21:01:35.63" personId="{0D030F0F-0763-4B75-BCA4-1DE9B80BBC88}" id="{BE0269E7-40D1-4F7B-90D5-ABF9D1814726}">
    <text>Keep description simple. Specifics not needed.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884679E-F187-45FA-8ED0-7A726F7D75C0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7a40385-2c0c-4481-8f27-e05f7dfd61b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1BD8CEE8-5615-4A6B-8AE1-6D6F3756688F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4d16578a-2612-4952-8f40-cfa819c419a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"/>
  <sheetViews>
    <sheetView tabSelected="1" view="pageBreakPreview" zoomScaleNormal="100" zoomScaleSheetLayoutView="100" workbookViewId="0">
      <selection activeCell="F29" sqref="F29"/>
    </sheetView>
  </sheetViews>
  <sheetFormatPr defaultColWidth="9.1796875" defaultRowHeight="16" x14ac:dyDescent="0.45"/>
  <cols>
    <col min="1" max="1" width="0.90625" style="3" customWidth="1"/>
    <col min="2" max="2" width="17.26953125" style="3" customWidth="1"/>
    <col min="3" max="3" width="19.81640625" style="3" bestFit="1" customWidth="1"/>
    <col min="4" max="4" width="1.6328125" style="3" customWidth="1"/>
    <col min="5" max="5" width="22.81640625" style="3" customWidth="1"/>
    <col min="6" max="6" width="21.453125" style="3" customWidth="1"/>
    <col min="7" max="7" width="20.7265625" style="3" bestFit="1" customWidth="1"/>
    <col min="8" max="8" width="5.36328125" style="3" customWidth="1"/>
    <col min="9" max="9" width="14.81640625" style="3" customWidth="1"/>
    <col min="10" max="10" width="13.453125" style="5" customWidth="1"/>
    <col min="11" max="11" width="5.36328125" style="3" customWidth="1"/>
    <col min="12" max="12" width="9.1796875" style="3" customWidth="1"/>
    <col min="13" max="16384" width="9.1796875" style="3"/>
  </cols>
  <sheetData>
    <row r="2" spans="2:15" ht="29.25" customHeight="1" x14ac:dyDescent="0.45">
      <c r="D2" s="32" t="s">
        <v>0</v>
      </c>
      <c r="E2" s="28"/>
      <c r="F2" s="28"/>
      <c r="G2" s="4"/>
    </row>
    <row r="3" spans="2:15" ht="14.25" customHeight="1" x14ac:dyDescent="0.45">
      <c r="D3" s="36" t="s">
        <v>20</v>
      </c>
      <c r="E3" s="37"/>
      <c r="F3" s="37"/>
      <c r="G3" s="4"/>
    </row>
    <row r="4" spans="2:15" ht="14.15" customHeight="1" x14ac:dyDescent="0.45">
      <c r="D4" s="29" t="s">
        <v>1</v>
      </c>
      <c r="E4" s="28"/>
      <c r="F4" s="28"/>
      <c r="G4" s="4"/>
    </row>
    <row r="5" spans="2:15" ht="21" customHeight="1" x14ac:dyDescent="0.45">
      <c r="B5" s="6"/>
      <c r="M5" s="7"/>
      <c r="N5" s="7"/>
    </row>
    <row r="6" spans="2:15" ht="18.75" customHeight="1" x14ac:dyDescent="0.45">
      <c r="B6" s="8" t="s">
        <v>2</v>
      </c>
      <c r="C6" s="8" t="s">
        <v>3</v>
      </c>
      <c r="E6" s="8" t="s">
        <v>4</v>
      </c>
      <c r="F6" s="8" t="s">
        <v>5</v>
      </c>
      <c r="K6" s="9"/>
      <c r="M6" s="10"/>
      <c r="N6" s="10"/>
      <c r="O6" s="10"/>
    </row>
    <row r="7" spans="2:15" ht="40.5" customHeight="1" x14ac:dyDescent="0.45">
      <c r="B7" s="27" t="s">
        <v>21</v>
      </c>
      <c r="C7" s="11"/>
      <c r="E7" s="12" t="s">
        <v>23</v>
      </c>
      <c r="F7" s="13"/>
      <c r="M7" s="6"/>
      <c r="N7" s="6"/>
      <c r="O7" s="14"/>
    </row>
    <row r="8" spans="2:15" ht="49.5" customHeight="1" x14ac:dyDescent="0.45">
      <c r="B8" s="27" t="s">
        <v>22</v>
      </c>
      <c r="C8" s="11"/>
      <c r="E8" s="15" t="s">
        <v>24</v>
      </c>
      <c r="F8" s="13"/>
      <c r="M8" s="6"/>
      <c r="N8" s="6"/>
      <c r="O8" s="14"/>
    </row>
    <row r="9" spans="2:15" ht="46.5" customHeight="1" x14ac:dyDescent="0.45">
      <c r="B9" s="27"/>
      <c r="C9" s="11"/>
      <c r="E9" s="16" t="s">
        <v>25</v>
      </c>
      <c r="F9" s="11"/>
      <c r="J9" s="3"/>
      <c r="M9" s="6"/>
      <c r="N9" s="6"/>
      <c r="O9" s="14"/>
    </row>
    <row r="10" spans="2:15" ht="18.75" customHeight="1" x14ac:dyDescent="0.45">
      <c r="B10" s="6"/>
      <c r="C10" s="6"/>
      <c r="D10" s="14"/>
      <c r="E10" s="6"/>
      <c r="F10" s="6"/>
      <c r="G10" s="14"/>
      <c r="J10" s="3"/>
    </row>
    <row r="11" spans="2:15" ht="18.75" customHeight="1" x14ac:dyDescent="0.45">
      <c r="B11" s="35" t="s">
        <v>6</v>
      </c>
      <c r="C11" s="28"/>
      <c r="D11" s="28"/>
      <c r="E11" s="28"/>
      <c r="F11" s="28"/>
      <c r="G11" s="14"/>
      <c r="I11" s="14"/>
      <c r="J11" s="3"/>
    </row>
    <row r="12" spans="2:15" ht="18.75" customHeight="1" x14ac:dyDescent="0.45">
      <c r="B12" s="26"/>
      <c r="C12" s="26"/>
      <c r="D12" s="26"/>
      <c r="E12" s="26"/>
      <c r="F12" s="26"/>
    </row>
    <row r="13" spans="2:15" ht="17.25" customHeight="1" x14ac:dyDescent="0.45">
      <c r="B13" s="31" t="s">
        <v>7</v>
      </c>
      <c r="C13" s="28"/>
      <c r="D13" s="33" t="s">
        <v>8</v>
      </c>
      <c r="E13" s="30"/>
      <c r="F13" s="30"/>
      <c r="H13" s="5"/>
    </row>
    <row r="14" spans="2:15" ht="20.25" customHeight="1" x14ac:dyDescent="0.55000000000000004">
      <c r="B14" s="17"/>
      <c r="H14" s="5"/>
    </row>
    <row r="15" spans="2:15" x14ac:dyDescent="0.45">
      <c r="B15" s="34" t="s">
        <v>9</v>
      </c>
      <c r="C15" s="28"/>
      <c r="D15" s="38">
        <v>46478</v>
      </c>
      <c r="E15" s="30"/>
      <c r="F15" s="30"/>
      <c r="H15" s="5"/>
    </row>
    <row r="16" spans="2:15" ht="17.25" customHeight="1" x14ac:dyDescent="0.45">
      <c r="B16" s="31" t="s">
        <v>10</v>
      </c>
      <c r="C16" s="28"/>
      <c r="D16" s="38">
        <v>46616</v>
      </c>
      <c r="E16" s="30"/>
      <c r="F16" s="30"/>
      <c r="H16" s="5"/>
    </row>
    <row r="17" spans="2:8" x14ac:dyDescent="0.45">
      <c r="B17" s="18"/>
      <c r="H17" s="19"/>
    </row>
    <row r="18" spans="2:8" x14ac:dyDescent="0.45">
      <c r="H18" s="5"/>
    </row>
    <row r="19" spans="2:8" x14ac:dyDescent="0.45">
      <c r="B19" s="3" t="s">
        <v>11</v>
      </c>
      <c r="C19" s="20" t="s">
        <v>12</v>
      </c>
      <c r="E19" s="21" t="s">
        <v>13</v>
      </c>
      <c r="F19" s="22">
        <f>E30</f>
        <v>22450</v>
      </c>
      <c r="H19" s="5"/>
    </row>
    <row r="20" spans="2:8" x14ac:dyDescent="0.45">
      <c r="B20" s="25" t="s">
        <v>14</v>
      </c>
      <c r="E20" s="21"/>
      <c r="H20" s="5"/>
    </row>
    <row r="21" spans="2:8" x14ac:dyDescent="0.45">
      <c r="C21" s="21"/>
      <c r="E21" s="21"/>
      <c r="F21" s="23"/>
      <c r="H21" s="24"/>
    </row>
    <row r="22" spans="2:8" x14ac:dyDescent="0.45">
      <c r="B22" s="3" t="s">
        <v>27</v>
      </c>
      <c r="E22" s="21"/>
      <c r="H22" s="5"/>
    </row>
    <row r="23" spans="2:8" x14ac:dyDescent="0.45">
      <c r="B23" s="39" t="s">
        <v>28</v>
      </c>
      <c r="C23" s="39"/>
      <c r="D23" s="39"/>
      <c r="E23" s="39"/>
      <c r="F23" s="40" t="s">
        <v>29</v>
      </c>
      <c r="H23" s="24"/>
    </row>
    <row r="24" spans="2:8" x14ac:dyDescent="0.45">
      <c r="B24" s="42" t="s">
        <v>30</v>
      </c>
      <c r="C24" s="43"/>
      <c r="D24" s="43"/>
      <c r="E24" s="44"/>
      <c r="F24" s="41">
        <v>18200</v>
      </c>
      <c r="H24" s="24"/>
    </row>
    <row r="25" spans="2:8" x14ac:dyDescent="0.45">
      <c r="B25" s="42" t="s">
        <v>26</v>
      </c>
      <c r="C25" s="43"/>
      <c r="D25" s="43"/>
      <c r="E25" s="44"/>
      <c r="F25" s="41">
        <v>4250</v>
      </c>
      <c r="H25" s="24"/>
    </row>
    <row r="26" spans="2:8" x14ac:dyDescent="0.45">
      <c r="B26" s="42"/>
      <c r="C26" s="43"/>
      <c r="D26" s="43"/>
      <c r="E26" s="44"/>
      <c r="F26" s="41"/>
      <c r="H26" s="24"/>
    </row>
    <row r="27" spans="2:8" x14ac:dyDescent="0.45">
      <c r="B27" s="42"/>
      <c r="C27" s="43"/>
      <c r="D27" s="43"/>
      <c r="E27" s="44"/>
      <c r="F27" s="41"/>
      <c r="H27" s="5"/>
    </row>
    <row r="28" spans="2:8" x14ac:dyDescent="0.45">
      <c r="B28" s="42"/>
      <c r="C28" s="43"/>
      <c r="D28" s="43"/>
      <c r="E28" s="44"/>
      <c r="F28" s="41"/>
      <c r="H28" s="5"/>
    </row>
    <row r="29" spans="2:8" x14ac:dyDescent="0.45">
      <c r="B29" s="42" t="s">
        <v>31</v>
      </c>
      <c r="C29" s="43"/>
      <c r="D29" s="43"/>
      <c r="E29" s="44"/>
      <c r="F29" s="41">
        <f>ROUND(SUM(F24:F28)*G29,0)</f>
        <v>0</v>
      </c>
      <c r="G29" s="46">
        <v>0</v>
      </c>
      <c r="H29" s="5"/>
    </row>
    <row r="30" spans="2:8" x14ac:dyDescent="0.45">
      <c r="B30" s="3" t="s">
        <v>15</v>
      </c>
      <c r="E30" s="45">
        <f>SUM(F24:F29)</f>
        <v>22450</v>
      </c>
      <c r="F30" s="45"/>
    </row>
  </sheetData>
  <mergeCells count="18">
    <mergeCell ref="D2:F2"/>
    <mergeCell ref="B16:C16"/>
    <mergeCell ref="D13:F13"/>
    <mergeCell ref="B15:C15"/>
    <mergeCell ref="B11:F11"/>
    <mergeCell ref="D4:F4"/>
    <mergeCell ref="E30:F30"/>
    <mergeCell ref="D3:F3"/>
    <mergeCell ref="D15:F15"/>
    <mergeCell ref="D16:F16"/>
    <mergeCell ref="B13:C13"/>
    <mergeCell ref="B23:E23"/>
    <mergeCell ref="B24:E24"/>
    <mergeCell ref="B25:E25"/>
    <mergeCell ref="B26:E26"/>
    <mergeCell ref="B27:E27"/>
    <mergeCell ref="B28:E28"/>
    <mergeCell ref="B29:E29"/>
  </mergeCells>
  <printOptions horizontalCentered="1"/>
  <pageMargins left="0.25" right="0.25" top="0.75" bottom="0.75" header="0.3" footer="0.3"/>
  <pageSetup orientation="portrait" r:id="rId1"/>
  <rowBreaks count="1" manualBreakCount="1">
    <brk id="21" max="5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6"/>
  <sheetViews>
    <sheetView workbookViewId="0">
      <selection activeCell="F37" sqref="F37"/>
    </sheetView>
  </sheetViews>
  <sheetFormatPr defaultRowHeight="12.5" x14ac:dyDescent="0.25"/>
  <cols>
    <col min="1" max="1" width="4.81640625" customWidth="1"/>
    <col min="2" max="2" width="18.6328125" customWidth="1"/>
  </cols>
  <sheetData>
    <row r="2" spans="2:4" ht="12.75" customHeight="1" x14ac:dyDescent="0.3">
      <c r="B2" s="1"/>
      <c r="C2" s="1"/>
      <c r="D2" s="1"/>
    </row>
    <row r="3" spans="2:4" x14ac:dyDescent="0.25">
      <c r="B3" s="2" t="s">
        <v>16</v>
      </c>
      <c r="C3" s="2"/>
      <c r="D3" s="2"/>
    </row>
    <row r="4" spans="2:4" x14ac:dyDescent="0.25">
      <c r="B4" s="2" t="s">
        <v>17</v>
      </c>
      <c r="C4" s="2"/>
      <c r="D4" s="2"/>
    </row>
    <row r="5" spans="2:4" x14ac:dyDescent="0.25">
      <c r="B5" s="2" t="s">
        <v>18</v>
      </c>
      <c r="C5" s="2"/>
      <c r="D5" s="2"/>
    </row>
    <row r="6" spans="2:4" x14ac:dyDescent="0.25">
      <c r="B6" s="2" t="s">
        <v>19</v>
      </c>
      <c r="D6" s="2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cover sheet</vt:lpstr>
      <vt:lpstr>list</vt:lpstr>
      <vt:lpstr>list</vt:lpstr>
      <vt:lpstr>PEs</vt:lpstr>
      <vt:lpstr>PMs</vt:lpstr>
      <vt:lpstr>'cover sheet'!Print_Area</vt:lpstr>
      <vt:lpstr>ProjectEngineers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Baum</dc:creator>
  <cp:lastModifiedBy>Jon Cox</cp:lastModifiedBy>
  <cp:lastPrinted>2015-04-29T22:38:01Z</cp:lastPrinted>
  <dcterms:created xsi:type="dcterms:W3CDTF">2006-10-04T15:06:08Z</dcterms:created>
  <dcterms:modified xsi:type="dcterms:W3CDTF">2026-08-11T21:02:56Z</dcterms:modified>
</cp:coreProperties>
</file>